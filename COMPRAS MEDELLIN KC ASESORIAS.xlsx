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a\OneDrive\Escritorio\KC MEDELLIN-TOLU-BELLO\MEDELLIN KC ASESORIAS\"/>
    </mc:Choice>
  </mc:AlternateContent>
  <xr:revisionPtr revIDLastSave="0" documentId="13_ncr:1_{F95E4885-8220-4619-A8C8-FEBE5DA4E3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F62" i="1" l="1"/>
</calcChain>
</file>

<file path=xl/sharedStrings.xml><?xml version="1.0" encoding="utf-8"?>
<sst xmlns="http://schemas.openxmlformats.org/spreadsheetml/2006/main" count="307" uniqueCount="137">
  <si>
    <t>Fecha</t>
  </si>
  <si>
    <t>Tipo de transaccion</t>
  </si>
  <si>
    <t>Nombre</t>
  </si>
  <si>
    <t>NIT</t>
  </si>
  <si>
    <t>Nota</t>
  </si>
  <si>
    <t>Valor</t>
  </si>
  <si>
    <t>2026-06-02</t>
  </si>
  <si>
    <t>Insumos</t>
  </si>
  <si>
    <t>DISTRIBUIDORA PASTEUR</t>
  </si>
  <si>
    <t>proveedor ocasional</t>
  </si>
  <si>
    <t>VLR NETO / DEBITO MASTERCARD</t>
  </si>
  <si>
    <t>Ed. Colpatria</t>
  </si>
  <si>
    <t>Pollo apanado, cerdo tropical, chicharron, cremas, sancocho, frijoles</t>
  </si>
  <si>
    <t>FARMACIAS PASTEUR</t>
  </si>
  <si>
    <t>890.930.534-0</t>
  </si>
  <si>
    <t>TAMPONES NOSOTRAS, NUTRILON PEPTI, DOMICILIO</t>
  </si>
  <si>
    <t>2026-06-12</t>
  </si>
  <si>
    <t>Juan Andres Vasquez Mena</t>
  </si>
  <si>
    <t>1.004.011.582-8</t>
  </si>
  <si>
    <t>Contabilidad y presentacion de impuestos - Junio</t>
  </si>
  <si>
    <t>Ana Ester Carrillo Manjarres</t>
  </si>
  <si>
    <t>Almuerzo</t>
  </si>
  <si>
    <t>Paola Olaya</t>
  </si>
  <si>
    <t>Caja menor + 250.000 en efectivo</t>
  </si>
  <si>
    <t>Juan Camilo Duque</t>
  </si>
  <si>
    <t>400 medición 4 predios / 400 Logistica de la semana</t>
  </si>
  <si>
    <t>David Protocolista notaría 23</t>
  </si>
  <si>
    <t>3 escrituras</t>
  </si>
  <si>
    <t>Carlos De Jesus Velez Gonzalez</t>
  </si>
  <si>
    <t>Protocolista, Carlos Velez / tres Escrituras</t>
  </si>
  <si>
    <t>Nómina Paola 1-15 junio 2026</t>
  </si>
  <si>
    <t>Gabriel Angel Molina Jaramillo</t>
  </si>
  <si>
    <t>Radicado catastro</t>
  </si>
  <si>
    <t>Andrea Vergara</t>
  </si>
  <si>
    <t>Nómina, Andrea, 1-15 junio 20, 26</t>
  </si>
  <si>
    <t>CARLOS JARAMILLO</t>
  </si>
  <si>
    <t>Cumpleaños Alex jllo</t>
  </si>
  <si>
    <t>Edwart Jaramillo</t>
  </si>
  <si>
    <t>Aporte Mauricio / aporte seminal</t>
  </si>
  <si>
    <t>Tigo</t>
  </si>
  <si>
    <t>Pago linea 3006664602</t>
  </si>
  <si>
    <t>Mes junio / Pago internet oficina</t>
  </si>
  <si>
    <t>urbanos y juridicos</t>
  </si>
  <si>
    <t>Celular 310465...</t>
  </si>
  <si>
    <t>Claro</t>
  </si>
  <si>
    <t>Pago de celular 3205360230</t>
  </si>
  <si>
    <t>2026-06-13</t>
  </si>
  <si>
    <t>Compañia de Financiamiento Tuya SA</t>
  </si>
  <si>
    <t>Pago pauta</t>
  </si>
  <si>
    <t>Compañía de Financiamiento Tuya S.A</t>
  </si>
  <si>
    <t>8600323303</t>
  </si>
  <si>
    <t>2026-06-14</t>
  </si>
  <si>
    <t>Ricardo Alonso Jaramillo Alvarez</t>
  </si>
  <si>
    <t>Parqueadero Belen Junio</t>
  </si>
  <si>
    <t>2026-06-15</t>
  </si>
  <si>
    <t>EPM</t>
  </si>
  <si>
    <t>Servicios EPM Belén Junio 2026</t>
  </si>
  <si>
    <t>SODIMAC COLOMBIA SA</t>
  </si>
  <si>
    <t>800.242.106-2</t>
  </si>
  <si>
    <t>114.800 materiales bello apto sara</t>
  </si>
  <si>
    <t>2026-06-16</t>
  </si>
  <si>
    <t>IMPORTILES SAS</t>
  </si>
  <si>
    <t>900432249-5</t>
  </si>
  <si>
    <t>PEGANTE, PORCELANATO</t>
  </si>
  <si>
    <t>IMPORTIES</t>
  </si>
  <si>
    <t>Enchape pared apto Sara</t>
  </si>
  <si>
    <t>Nequi (3137051978)</t>
  </si>
  <si>
    <t>Anticipo arena revoque</t>
  </si>
  <si>
    <t>2026-06-17</t>
  </si>
  <si>
    <t>Anticipo materiales apto Sara</t>
  </si>
  <si>
    <t>Los Pinos</t>
  </si>
  <si>
    <t>Punto de venta Los Pinos</t>
  </si>
  <si>
    <t>CEMENTO ARGOS GRIS, ARENA LAVADA CONCRET, MALLA ROLLO</t>
  </si>
  <si>
    <t>ALMACENES EXITO S.A</t>
  </si>
  <si>
    <t>8909006089</t>
  </si>
  <si>
    <t>Sandwich Croissa, Colombiana</t>
  </si>
  <si>
    <t>DUGOTEX S.A</t>
  </si>
  <si>
    <t>800106864-2</t>
  </si>
  <si>
    <t>LORENA 2895 SEAMLESS CACHETERO</t>
  </si>
  <si>
    <t>GRUPO EDS AUTOGAS S.A.S</t>
  </si>
  <si>
    <t>900450737-5</t>
  </si>
  <si>
    <t>GASOLINA CORRIENTE EDS</t>
  </si>
  <si>
    <t>RICO PASTEL CENTRO</t>
  </si>
  <si>
    <t>71279382-5</t>
  </si>
  <si>
    <t>COCACOLA ORIGINAL, HIT FRUTAS</t>
  </si>
  <si>
    <t>Gustavo Adolfo Barrera Montaño</t>
  </si>
  <si>
    <t>Mensajeria</t>
  </si>
  <si>
    <t>2026-06-18</t>
  </si>
  <si>
    <t>Tecnico mecánica Mauricio</t>
  </si>
  <si>
    <t>Jose Guerrero</t>
  </si>
  <si>
    <t>Logistica en medición</t>
  </si>
  <si>
    <t>Sara Cristina Sanchez Balbin</t>
  </si>
  <si>
    <t>Pago doc Belen san bernardo</t>
  </si>
  <si>
    <t>2026-06-19</t>
  </si>
  <si>
    <t>CREPES Y WAFFLES LAURE</t>
  </si>
  <si>
    <t>Almuerzo crepes and wafles</t>
  </si>
  <si>
    <t>Andrea Vergara Nequi</t>
  </si>
  <si>
    <t>Prima de Junio 2026</t>
  </si>
  <si>
    <t>Bono compensatorio de prima1 enero al 30 de junio</t>
  </si>
  <si>
    <t>JUAN CAMILO DUQUE RIVERA</t>
  </si>
  <si>
    <t>70879890</t>
  </si>
  <si>
    <t>Logistica de bello 1 semana</t>
  </si>
  <si>
    <t>Juan Camilo</t>
  </si>
  <si>
    <t>Pago tres cuentas de cobro</t>
  </si>
  <si>
    <t>MEDICIONES DE ANGELA, WILMAR, DIEGO</t>
  </si>
  <si>
    <t>Cancelacion comisión cordobitas</t>
  </si>
  <si>
    <t>YUDY PAOLA OLAYA AGUDELO</t>
  </si>
  <si>
    <t>1030619415</t>
  </si>
  <si>
    <t>Compensación de Prima de servicio del 1 enero al 30 de junio 2026</t>
  </si>
  <si>
    <t>Santiago Alzate Ochoa</t>
  </si>
  <si>
    <t>Pago</t>
  </si>
  <si>
    <t>2026-06-20</t>
  </si>
  <si>
    <t>Aporte Mauricio</t>
  </si>
  <si>
    <t>Pauta Fcbk</t>
  </si>
  <si>
    <t>Compañia de Financiamiento Tuya S.A</t>
  </si>
  <si>
    <t>Lucely Guerrero Valera</t>
  </si>
  <si>
    <t>Pago cuidadora 8 días</t>
  </si>
  <si>
    <t>John Fredy Giraldo Paniagua</t>
  </si>
  <si>
    <t>Corte 1 MdeO bello</t>
  </si>
  <si>
    <t>Nequi (3242114867)</t>
  </si>
  <si>
    <t>Comisión Alex, Jaramillo240 Y Medición, Policia 150</t>
  </si>
  <si>
    <t>Nequi (3195812669)</t>
  </si>
  <si>
    <t>Día y prima</t>
  </si>
  <si>
    <t>2026-06-21</t>
  </si>
  <si>
    <t>Andres Felipe Sanchez Velasquez</t>
  </si>
  <si>
    <t>Anticipo nombres de Dios</t>
  </si>
  <si>
    <t>VERÓNICA GIRALDO GAVIRIA</t>
  </si>
  <si>
    <t>1037577248</t>
  </si>
  <si>
    <t>Plano Curaduria Ana de Jesús Castilla</t>
  </si>
  <si>
    <t>2026-06-22</t>
  </si>
  <si>
    <t>Importiles S A S</t>
  </si>
  <si>
    <t>Enchape barra cocina Apto Sara</t>
  </si>
  <si>
    <t/>
  </si>
  <si>
    <t>Nequi (3122867278)</t>
  </si>
  <si>
    <t>Enchape mesón comedor</t>
  </si>
  <si>
    <t>Dos vallas Curaduria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</si>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</sst>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topLeftCell="A31" workbookViewId="0">
      <selection activeCell="A62" sqref="A62:F62"/>
    </sheetView>
  </sheetViews>
  <sheetFormatPr baseColWidth="10" defaultRowHeight="15.75" x14ac:dyDescent="0.25"/>
  <cols>
    <col min="1" max="1" width="15.875" customWidth="1"/>
    <col min="2" max="2" width="20.875" customWidth="1"/>
    <col min="3" max="3" width="40.875" customWidth="1"/>
    <col min="4" max="4" width="20.875" customWidth="1"/>
    <col min="5" max="5" width="50.875" customWidth="1"/>
    <col min="6" max="6" width="15.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237682</v>
      </c>
    </row>
    <row r="3" spans="1:6" x14ac:dyDescent="0.25">
      <c r="A3" t="s">
        <v>6</v>
      </c>
      <c r="B3" t="s">
        <v>7</v>
      </c>
      <c r="C3" t="s">
        <v>11</v>
      </c>
      <c r="D3" t="s">
        <v>9</v>
      </c>
      <c r="E3" t="s">
        <v>12</v>
      </c>
      <c r="F3">
        <v>97000</v>
      </c>
    </row>
    <row r="4" spans="1:6" x14ac:dyDescent="0.25">
      <c r="A4" t="s">
        <v>6</v>
      </c>
      <c r="B4" t="s">
        <v>7</v>
      </c>
      <c r="C4" t="s">
        <v>13</v>
      </c>
      <c r="D4" t="s">
        <v>14</v>
      </c>
      <c r="E4" t="s">
        <v>15</v>
      </c>
      <c r="F4">
        <v>237682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19</v>
      </c>
      <c r="F5">
        <v>700000</v>
      </c>
    </row>
    <row r="6" spans="1:6" x14ac:dyDescent="0.25">
      <c r="A6" t="s">
        <v>16</v>
      </c>
      <c r="B6" t="s">
        <v>7</v>
      </c>
      <c r="C6" t="s">
        <v>20</v>
      </c>
      <c r="D6" t="s">
        <v>9</v>
      </c>
      <c r="E6" t="s">
        <v>21</v>
      </c>
      <c r="F6">
        <v>80000</v>
      </c>
    </row>
    <row r="7" spans="1:6" x14ac:dyDescent="0.25">
      <c r="A7" t="s">
        <v>16</v>
      </c>
      <c r="B7" t="s">
        <v>7</v>
      </c>
      <c r="C7" t="s">
        <v>22</v>
      </c>
      <c r="D7" t="s">
        <v>9</v>
      </c>
      <c r="E7" t="s">
        <v>23</v>
      </c>
      <c r="F7">
        <v>50000</v>
      </c>
    </row>
    <row r="8" spans="1:6" x14ac:dyDescent="0.25">
      <c r="A8" t="s">
        <v>16</v>
      </c>
      <c r="B8" t="s">
        <v>7</v>
      </c>
      <c r="C8" t="s">
        <v>24</v>
      </c>
      <c r="D8" t="s">
        <v>9</v>
      </c>
      <c r="E8" t="s">
        <v>25</v>
      </c>
      <c r="F8">
        <v>800000</v>
      </c>
    </row>
    <row r="9" spans="1:6" x14ac:dyDescent="0.25">
      <c r="A9" t="s">
        <v>16</v>
      </c>
      <c r="B9" t="s">
        <v>7</v>
      </c>
      <c r="C9" t="s">
        <v>26</v>
      </c>
      <c r="D9" t="s">
        <v>9</v>
      </c>
      <c r="E9" t="s">
        <v>27</v>
      </c>
      <c r="F9">
        <v>300000</v>
      </c>
    </row>
    <row r="10" spans="1:6" x14ac:dyDescent="0.25">
      <c r="A10" t="s">
        <v>16</v>
      </c>
      <c r="B10" t="s">
        <v>7</v>
      </c>
      <c r="C10" t="s">
        <v>28</v>
      </c>
      <c r="D10" t="s">
        <v>9</v>
      </c>
      <c r="E10" t="s">
        <v>29</v>
      </c>
      <c r="F10">
        <v>300000</v>
      </c>
    </row>
    <row r="11" spans="1:6" x14ac:dyDescent="0.25">
      <c r="A11" t="s">
        <v>16</v>
      </c>
      <c r="B11" t="s">
        <v>7</v>
      </c>
      <c r="C11" t="s">
        <v>22</v>
      </c>
      <c r="D11" t="s">
        <v>9</v>
      </c>
      <c r="E11" t="s">
        <v>30</v>
      </c>
      <c r="F11">
        <v>1000000</v>
      </c>
    </row>
    <row r="12" spans="1:6" x14ac:dyDescent="0.25">
      <c r="A12" t="s">
        <v>16</v>
      </c>
      <c r="B12" t="s">
        <v>7</v>
      </c>
      <c r="C12" t="s">
        <v>31</v>
      </c>
      <c r="D12" t="s">
        <v>9</v>
      </c>
      <c r="E12" t="s">
        <v>32</v>
      </c>
      <c r="F12">
        <v>280000</v>
      </c>
    </row>
    <row r="13" spans="1:6" x14ac:dyDescent="0.25">
      <c r="A13" t="s">
        <v>16</v>
      </c>
      <c r="B13" t="s">
        <v>7</v>
      </c>
      <c r="C13" t="s">
        <v>33</v>
      </c>
      <c r="D13" t="s">
        <v>9</v>
      </c>
      <c r="E13" t="s">
        <v>34</v>
      </c>
      <c r="F13">
        <v>850000</v>
      </c>
    </row>
    <row r="14" spans="1:6" x14ac:dyDescent="0.25">
      <c r="A14" t="s">
        <v>16</v>
      </c>
      <c r="B14" t="s">
        <v>7</v>
      </c>
      <c r="C14" t="s">
        <v>35</v>
      </c>
      <c r="D14" t="s">
        <v>9</v>
      </c>
      <c r="E14" t="s">
        <v>36</v>
      </c>
      <c r="F14">
        <v>200000</v>
      </c>
    </row>
    <row r="15" spans="1:6" x14ac:dyDescent="0.25">
      <c r="A15" t="s">
        <v>16</v>
      </c>
      <c r="B15" t="s">
        <v>7</v>
      </c>
      <c r="C15" t="s">
        <v>37</v>
      </c>
      <c r="D15" t="s">
        <v>9</v>
      </c>
      <c r="E15" t="s">
        <v>38</v>
      </c>
      <c r="F15">
        <v>500000</v>
      </c>
    </row>
    <row r="16" spans="1:6" x14ac:dyDescent="0.25">
      <c r="A16" t="s">
        <v>16</v>
      </c>
      <c r="B16" t="s">
        <v>7</v>
      </c>
      <c r="C16" t="s">
        <v>39</v>
      </c>
      <c r="D16" t="s">
        <v>9</v>
      </c>
      <c r="E16" t="s">
        <v>40</v>
      </c>
      <c r="F16">
        <v>53900</v>
      </c>
    </row>
    <row r="17" spans="1:6" x14ac:dyDescent="0.25">
      <c r="A17" t="s">
        <v>16</v>
      </c>
      <c r="B17" t="s">
        <v>7</v>
      </c>
      <c r="C17" t="s">
        <v>39</v>
      </c>
      <c r="D17" t="s">
        <v>9</v>
      </c>
      <c r="E17" t="s">
        <v>41</v>
      </c>
      <c r="F17">
        <v>243322</v>
      </c>
    </row>
    <row r="18" spans="1:6" x14ac:dyDescent="0.25">
      <c r="A18" t="s">
        <v>16</v>
      </c>
      <c r="B18" t="s">
        <v>7</v>
      </c>
      <c r="C18" t="s">
        <v>42</v>
      </c>
      <c r="D18" t="s">
        <v>9</v>
      </c>
      <c r="E18" t="s">
        <v>43</v>
      </c>
      <c r="F18">
        <v>44900</v>
      </c>
    </row>
    <row r="19" spans="1:6" x14ac:dyDescent="0.25">
      <c r="A19" t="s">
        <v>16</v>
      </c>
      <c r="B19" t="s">
        <v>7</v>
      </c>
      <c r="C19" t="s">
        <v>44</v>
      </c>
      <c r="D19" t="s">
        <v>9</v>
      </c>
      <c r="E19" t="s">
        <v>45</v>
      </c>
      <c r="F19">
        <v>92672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 t="s">
        <v>48</v>
      </c>
      <c r="F20">
        <v>400000</v>
      </c>
    </row>
    <row r="21" spans="1:6" x14ac:dyDescent="0.25">
      <c r="A21" t="s">
        <v>46</v>
      </c>
      <c r="B21" t="s">
        <v>7</v>
      </c>
      <c r="C21" t="s">
        <v>49</v>
      </c>
      <c r="D21" t="s">
        <v>50</v>
      </c>
      <c r="E21" t="s">
        <v>48</v>
      </c>
      <c r="F21">
        <v>400000</v>
      </c>
    </row>
    <row r="22" spans="1:6" x14ac:dyDescent="0.25">
      <c r="A22" t="s">
        <v>51</v>
      </c>
      <c r="B22" t="s">
        <v>7</v>
      </c>
      <c r="C22" t="s">
        <v>52</v>
      </c>
      <c r="D22" t="s">
        <v>9</v>
      </c>
      <c r="E22" t="s">
        <v>53</v>
      </c>
      <c r="F22">
        <v>60000</v>
      </c>
    </row>
    <row r="23" spans="1:6" x14ac:dyDescent="0.25">
      <c r="A23" t="s">
        <v>54</v>
      </c>
      <c r="B23" t="s">
        <v>7</v>
      </c>
      <c r="C23" t="s">
        <v>55</v>
      </c>
      <c r="D23" t="s">
        <v>9</v>
      </c>
      <c r="E23" t="s">
        <v>56</v>
      </c>
      <c r="F23">
        <v>388707</v>
      </c>
    </row>
    <row r="24" spans="1:6" x14ac:dyDescent="0.25">
      <c r="A24" t="s">
        <v>54</v>
      </c>
      <c r="B24" t="s">
        <v>7</v>
      </c>
      <c r="C24" t="s">
        <v>57</v>
      </c>
      <c r="D24" t="s">
        <v>58</v>
      </c>
      <c r="E24" t="s">
        <v>59</v>
      </c>
      <c r="F24">
        <v>114800</v>
      </c>
    </row>
    <row r="25" spans="1:6" x14ac:dyDescent="0.25">
      <c r="A25" t="s">
        <v>60</v>
      </c>
      <c r="B25" t="s">
        <v>7</v>
      </c>
      <c r="C25" t="s">
        <v>61</v>
      </c>
      <c r="D25" t="s">
        <v>62</v>
      </c>
      <c r="E25" t="s">
        <v>63</v>
      </c>
      <c r="F25">
        <v>859400</v>
      </c>
    </row>
    <row r="26" spans="1:6" x14ac:dyDescent="0.25">
      <c r="A26" t="s">
        <v>60</v>
      </c>
      <c r="B26" t="s">
        <v>7</v>
      </c>
      <c r="C26" t="s">
        <v>64</v>
      </c>
      <c r="D26" t="s">
        <v>9</v>
      </c>
      <c r="E26" t="s">
        <v>65</v>
      </c>
      <c r="F26">
        <v>859400</v>
      </c>
    </row>
    <row r="27" spans="1:6" x14ac:dyDescent="0.25">
      <c r="A27" t="s">
        <v>60</v>
      </c>
      <c r="B27" t="s">
        <v>7</v>
      </c>
      <c r="C27" t="s">
        <v>66</v>
      </c>
      <c r="D27" t="s">
        <v>9</v>
      </c>
      <c r="E27" t="s">
        <v>67</v>
      </c>
      <c r="F27">
        <v>200000</v>
      </c>
    </row>
    <row r="28" spans="1:6" x14ac:dyDescent="0.25">
      <c r="A28" t="s">
        <v>68</v>
      </c>
      <c r="B28" t="s">
        <v>7</v>
      </c>
      <c r="C28" t="s">
        <v>66</v>
      </c>
      <c r="D28" t="s">
        <v>9</v>
      </c>
      <c r="E28" t="s">
        <v>69</v>
      </c>
      <c r="F28">
        <v>500000</v>
      </c>
    </row>
    <row r="29" spans="1:6" x14ac:dyDescent="0.25">
      <c r="A29" t="s">
        <v>68</v>
      </c>
      <c r="B29" t="s">
        <v>7</v>
      </c>
      <c r="C29" t="s">
        <v>70</v>
      </c>
      <c r="D29" t="s">
        <v>9</v>
      </c>
      <c r="E29" t="s">
        <v>71</v>
      </c>
      <c r="F29">
        <v>900000</v>
      </c>
    </row>
    <row r="30" spans="1:6" x14ac:dyDescent="0.25">
      <c r="A30" t="s">
        <v>16</v>
      </c>
      <c r="B30" t="s">
        <v>7</v>
      </c>
      <c r="C30" t="s">
        <v>57</v>
      </c>
      <c r="D30" t="s">
        <v>58</v>
      </c>
      <c r="E30" t="s">
        <v>72</v>
      </c>
      <c r="F30">
        <v>1549800</v>
      </c>
    </row>
    <row r="31" spans="1:6" x14ac:dyDescent="0.25">
      <c r="A31" t="s">
        <v>46</v>
      </c>
      <c r="B31" t="s">
        <v>7</v>
      </c>
      <c r="C31" t="s">
        <v>73</v>
      </c>
      <c r="D31" t="s">
        <v>74</v>
      </c>
      <c r="E31" t="s">
        <v>75</v>
      </c>
      <c r="F31">
        <v>18600</v>
      </c>
    </row>
    <row r="32" spans="1:6" x14ac:dyDescent="0.25">
      <c r="A32" t="s">
        <v>60</v>
      </c>
      <c r="B32" t="s">
        <v>7</v>
      </c>
      <c r="C32" t="s">
        <v>76</v>
      </c>
      <c r="D32" t="s">
        <v>77</v>
      </c>
      <c r="E32" t="s">
        <v>78</v>
      </c>
      <c r="F32">
        <v>195422</v>
      </c>
    </row>
    <row r="33" spans="1:6" x14ac:dyDescent="0.25">
      <c r="A33" t="s">
        <v>68</v>
      </c>
      <c r="B33" t="s">
        <v>7</v>
      </c>
      <c r="C33" t="s">
        <v>79</v>
      </c>
      <c r="D33" t="s">
        <v>80</v>
      </c>
      <c r="E33" t="s">
        <v>81</v>
      </c>
      <c r="F33">
        <v>70000</v>
      </c>
    </row>
    <row r="34" spans="1:6" x14ac:dyDescent="0.25">
      <c r="A34" t="s">
        <v>68</v>
      </c>
      <c r="B34" t="s">
        <v>7</v>
      </c>
      <c r="C34" t="s">
        <v>82</v>
      </c>
      <c r="D34" t="s">
        <v>83</v>
      </c>
      <c r="E34" t="s">
        <v>84</v>
      </c>
      <c r="F34">
        <v>11800</v>
      </c>
    </row>
    <row r="35" spans="1:6" x14ac:dyDescent="0.25">
      <c r="A35" t="s">
        <v>68</v>
      </c>
      <c r="B35" t="s">
        <v>7</v>
      </c>
      <c r="C35" t="s">
        <v>85</v>
      </c>
      <c r="D35" t="s">
        <v>9</v>
      </c>
      <c r="E35" t="s">
        <v>86</v>
      </c>
      <c r="F35">
        <v>125000</v>
      </c>
    </row>
    <row r="36" spans="1:6" x14ac:dyDescent="0.25">
      <c r="A36" t="s">
        <v>87</v>
      </c>
      <c r="B36" t="s">
        <v>7</v>
      </c>
      <c r="C36" t="s">
        <v>66</v>
      </c>
      <c r="D36" t="s">
        <v>9</v>
      </c>
      <c r="E36" t="s">
        <v>88</v>
      </c>
      <c r="F36">
        <v>500000</v>
      </c>
    </row>
    <row r="37" spans="1:6" x14ac:dyDescent="0.25">
      <c r="A37" t="s">
        <v>87</v>
      </c>
      <c r="B37" t="s">
        <v>7</v>
      </c>
      <c r="C37" t="s">
        <v>89</v>
      </c>
      <c r="D37" t="s">
        <v>9</v>
      </c>
      <c r="E37" t="s">
        <v>90</v>
      </c>
      <c r="F37">
        <v>200000</v>
      </c>
    </row>
    <row r="38" spans="1:6" x14ac:dyDescent="0.25">
      <c r="A38" t="s">
        <v>87</v>
      </c>
      <c r="B38" t="s">
        <v>7</v>
      </c>
      <c r="C38" t="s">
        <v>91</v>
      </c>
      <c r="D38" t="s">
        <v>9</v>
      </c>
      <c r="E38" t="s">
        <v>92</v>
      </c>
      <c r="F38">
        <v>1000000</v>
      </c>
    </row>
    <row r="39" spans="1:6" x14ac:dyDescent="0.25">
      <c r="A39" t="s">
        <v>93</v>
      </c>
      <c r="B39" t="s">
        <v>7</v>
      </c>
      <c r="C39" t="s">
        <v>94</v>
      </c>
      <c r="D39" t="s">
        <v>9</v>
      </c>
      <c r="E39" t="s">
        <v>95</v>
      </c>
      <c r="F39">
        <v>438000</v>
      </c>
    </row>
    <row r="40" spans="1:6" x14ac:dyDescent="0.25">
      <c r="A40" t="s">
        <v>93</v>
      </c>
      <c r="B40" t="s">
        <v>7</v>
      </c>
      <c r="C40" t="s">
        <v>96</v>
      </c>
      <c r="D40" t="s">
        <v>9</v>
      </c>
      <c r="E40" t="s">
        <v>97</v>
      </c>
      <c r="F40">
        <v>875000</v>
      </c>
    </row>
    <row r="41" spans="1:6" x14ac:dyDescent="0.25">
      <c r="A41" t="s">
        <v>93</v>
      </c>
      <c r="B41" t="s">
        <v>7</v>
      </c>
      <c r="C41" t="s">
        <v>22</v>
      </c>
      <c r="D41" t="s">
        <v>9</v>
      </c>
      <c r="E41" t="s">
        <v>98</v>
      </c>
      <c r="F41">
        <v>875000</v>
      </c>
    </row>
    <row r="42" spans="1:6" x14ac:dyDescent="0.25">
      <c r="A42" t="s">
        <v>93</v>
      </c>
      <c r="B42" t="s">
        <v>7</v>
      </c>
      <c r="C42" t="s">
        <v>99</v>
      </c>
      <c r="D42" t="s">
        <v>100</v>
      </c>
      <c r="E42" t="s">
        <v>101</v>
      </c>
      <c r="F42">
        <v>500000</v>
      </c>
    </row>
    <row r="43" spans="1:6" x14ac:dyDescent="0.25">
      <c r="A43" t="s">
        <v>93</v>
      </c>
      <c r="B43" t="s">
        <v>7</v>
      </c>
      <c r="C43" t="s">
        <v>102</v>
      </c>
      <c r="D43" t="s">
        <v>9</v>
      </c>
      <c r="E43" t="s">
        <v>103</v>
      </c>
      <c r="F43">
        <v>1570000</v>
      </c>
    </row>
    <row r="44" spans="1:6" x14ac:dyDescent="0.25">
      <c r="A44" t="s">
        <v>93</v>
      </c>
      <c r="B44" t="s">
        <v>7</v>
      </c>
      <c r="C44" t="s">
        <v>99</v>
      </c>
      <c r="D44" t="s">
        <v>100</v>
      </c>
      <c r="E44" t="s">
        <v>104</v>
      </c>
      <c r="F44">
        <v>400000</v>
      </c>
    </row>
    <row r="45" spans="1:6" x14ac:dyDescent="0.25">
      <c r="A45" t="s">
        <v>93</v>
      </c>
      <c r="B45" t="s">
        <v>7</v>
      </c>
      <c r="C45" t="s">
        <v>99</v>
      </c>
      <c r="D45" t="s">
        <v>100</v>
      </c>
      <c r="E45" t="s">
        <v>105</v>
      </c>
      <c r="F45">
        <v>500000</v>
      </c>
    </row>
    <row r="46" spans="1:6" x14ac:dyDescent="0.25">
      <c r="A46" t="s">
        <v>93</v>
      </c>
      <c r="B46" t="s">
        <v>7</v>
      </c>
      <c r="C46" t="s">
        <v>106</v>
      </c>
      <c r="D46" t="s">
        <v>107</v>
      </c>
      <c r="E46" t="s">
        <v>108</v>
      </c>
      <c r="F46">
        <v>875000</v>
      </c>
    </row>
    <row r="47" spans="1:6" x14ac:dyDescent="0.25">
      <c r="A47" t="s">
        <v>93</v>
      </c>
      <c r="B47" t="s">
        <v>7</v>
      </c>
      <c r="C47" t="s">
        <v>109</v>
      </c>
      <c r="D47" t="s">
        <v>9</v>
      </c>
      <c r="E47" t="s">
        <v>110</v>
      </c>
      <c r="F47">
        <v>427020</v>
      </c>
    </row>
    <row r="48" spans="1:6" x14ac:dyDescent="0.25">
      <c r="A48" t="s">
        <v>111</v>
      </c>
      <c r="B48" t="s">
        <v>7</v>
      </c>
      <c r="C48" t="s">
        <v>37</v>
      </c>
      <c r="D48" t="s">
        <v>9</v>
      </c>
      <c r="E48" t="s">
        <v>112</v>
      </c>
      <c r="F48">
        <v>1000000</v>
      </c>
    </row>
    <row r="49" spans="1:6" x14ac:dyDescent="0.25">
      <c r="A49" t="s">
        <v>111</v>
      </c>
      <c r="B49" t="s">
        <v>7</v>
      </c>
      <c r="C49" t="s">
        <v>47</v>
      </c>
      <c r="D49" t="s">
        <v>9</v>
      </c>
      <c r="E49" t="s">
        <v>113</v>
      </c>
      <c r="F49">
        <v>400000</v>
      </c>
    </row>
    <row r="50" spans="1:6" x14ac:dyDescent="0.25">
      <c r="A50" t="s">
        <v>111</v>
      </c>
      <c r="B50" t="s">
        <v>7</v>
      </c>
      <c r="C50" t="s">
        <v>114</v>
      </c>
      <c r="D50" t="s">
        <v>50</v>
      </c>
      <c r="E50" t="s">
        <v>113</v>
      </c>
      <c r="F50">
        <v>400000</v>
      </c>
    </row>
    <row r="51" spans="1:6" x14ac:dyDescent="0.25">
      <c r="A51" t="s">
        <v>111</v>
      </c>
      <c r="B51" t="s">
        <v>7</v>
      </c>
      <c r="C51" t="s">
        <v>115</v>
      </c>
      <c r="D51" t="s">
        <v>9</v>
      </c>
      <c r="E51" t="s">
        <v>116</v>
      </c>
      <c r="F51">
        <v>950000</v>
      </c>
    </row>
    <row r="52" spans="1:6" x14ac:dyDescent="0.25">
      <c r="A52" t="s">
        <v>111</v>
      </c>
      <c r="B52" t="s">
        <v>7</v>
      </c>
      <c r="C52" t="s">
        <v>117</v>
      </c>
      <c r="D52" t="s">
        <v>9</v>
      </c>
      <c r="E52" t="s">
        <v>118</v>
      </c>
      <c r="F52">
        <v>1500000</v>
      </c>
    </row>
    <row r="53" spans="1:6" x14ac:dyDescent="0.25">
      <c r="A53" t="s">
        <v>111</v>
      </c>
      <c r="B53" t="s">
        <v>7</v>
      </c>
      <c r="C53" t="s">
        <v>119</v>
      </c>
      <c r="D53" t="s">
        <v>9</v>
      </c>
      <c r="E53" t="s">
        <v>120</v>
      </c>
      <c r="F53">
        <v>390000</v>
      </c>
    </row>
    <row r="54" spans="1:6" x14ac:dyDescent="0.25">
      <c r="A54" t="s">
        <v>111</v>
      </c>
      <c r="B54" t="s">
        <v>7</v>
      </c>
      <c r="C54" t="s">
        <v>121</v>
      </c>
      <c r="D54" t="s">
        <v>9</v>
      </c>
      <c r="E54" t="s">
        <v>122</v>
      </c>
      <c r="F54">
        <v>200000</v>
      </c>
    </row>
    <row r="55" spans="1:6" x14ac:dyDescent="0.25">
      <c r="A55" t="s">
        <v>123</v>
      </c>
      <c r="B55" t="s">
        <v>7</v>
      </c>
      <c r="C55" t="s">
        <v>124</v>
      </c>
      <c r="D55" t="s">
        <v>9</v>
      </c>
      <c r="E55" t="s">
        <v>125</v>
      </c>
      <c r="F55">
        <v>200000</v>
      </c>
    </row>
    <row r="56" spans="1:6" x14ac:dyDescent="0.25">
      <c r="A56" t="s">
        <v>87</v>
      </c>
      <c r="B56" t="s">
        <v>7</v>
      </c>
      <c r="C56" t="s">
        <v>126</v>
      </c>
      <c r="D56" t="s">
        <v>127</v>
      </c>
      <c r="E56" t="s">
        <v>128</v>
      </c>
      <c r="F56">
        <v>350000</v>
      </c>
    </row>
    <row r="57" spans="1:6" x14ac:dyDescent="0.25">
      <c r="A57" t="s">
        <v>129</v>
      </c>
      <c r="B57" t="s">
        <v>7</v>
      </c>
      <c r="C57" t="s">
        <v>130</v>
      </c>
      <c r="D57" t="s">
        <v>9</v>
      </c>
      <c r="E57" t="s">
        <v>131</v>
      </c>
      <c r="F57">
        <v>95040</v>
      </c>
    </row>
    <row r="58" spans="1:6" x14ac:dyDescent="0.25">
      <c r="A58" t="s">
        <v>129</v>
      </c>
      <c r="B58" t="s">
        <v>7</v>
      </c>
      <c r="C58" t="s">
        <v>28</v>
      </c>
      <c r="D58" t="s">
        <v>9</v>
      </c>
      <c r="E58" t="s">
        <v>132</v>
      </c>
      <c r="F58">
        <v>500000</v>
      </c>
    </row>
    <row r="59" spans="1:6" x14ac:dyDescent="0.25">
      <c r="A59" t="s">
        <v>129</v>
      </c>
      <c r="B59" t="s">
        <v>7</v>
      </c>
      <c r="C59" t="s">
        <v>133</v>
      </c>
      <c r="D59" t="s">
        <v>9</v>
      </c>
      <c r="E59" t="s">
        <v>132</v>
      </c>
      <c r="F59">
        <v>500000</v>
      </c>
    </row>
    <row r="60" spans="1:6" x14ac:dyDescent="0.25">
      <c r="A60" t="s">
        <v>129</v>
      </c>
      <c r="B60" t="s">
        <v>7</v>
      </c>
      <c r="C60" t="s">
        <v>61</v>
      </c>
      <c r="D60" t="s">
        <v>62</v>
      </c>
      <c r="E60" t="s">
        <v>134</v>
      </c>
      <c r="F60">
        <v>95040</v>
      </c>
    </row>
    <row r="61" spans="1:6" x14ac:dyDescent="0.25">
      <c r="A61" t="s">
        <v>129</v>
      </c>
      <c r="B61" t="s">
        <v>7</v>
      </c>
      <c r="C61" t="s">
        <v>124</v>
      </c>
      <c r="D61" t="s">
        <v>9</v>
      </c>
      <c r="E61" t="s">
        <v>135</v>
      </c>
      <c r="F61">
        <v>240000</v>
      </c>
    </row>
    <row r="62" spans="1:6" x14ac:dyDescent="0.25">
      <c r="A62" s="1" t="s">
        <v>136</v>
      </c>
      <c r="B62" s="1"/>
      <c r="C62" s="1"/>
      <c r="D62" s="1"/>
      <c r="E62" s="1"/>
      <c r="F62" s="2">
        <f>SUM(F2:F61)</f>
        <v>27700187</v>
      </c>
    </row>
  </sheetData>
  <mergeCells count="1">
    <mergeCell ref="A62:E62"/>
  </mergeCells>
  <pageMargins left="0.7" right="0.7" top="0.75" bottom="0.75" header="0.3" footer="0.3"/>
  <ignoredErrors>
    <ignoredError sqref="A1:F2 A19:F61 B18:F18 A4:F17 B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Vasquez</cp:lastModifiedBy>
  <dcterms:modified xsi:type="dcterms:W3CDTF">2026-06-24T17:20:41Z</dcterms:modified>
</cp:coreProperties>
</file>