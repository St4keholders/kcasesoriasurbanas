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a\OneDrive\Escritorio\KC MEDELLIN-TOLU-BELLO\TOLU\"/>
    </mc:Choice>
  </mc:AlternateContent>
  <xr:revisionPtr revIDLastSave="0" documentId="13_ncr:1_{2FDDEB93-915D-4D12-96F0-BE27BC0D8B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F45" i="1" l="1"/>
</calcChain>
</file>

<file path=xl/sharedStrings.xml><?xml version="1.0" encoding="utf-8"?>
<sst xmlns="http://schemas.openxmlformats.org/spreadsheetml/2006/main" count="222" uniqueCount="92">
  <si>
    <t>Fecha</t>
  </si>
  <si>
    <t>Tipo de transaccion</t>
  </si>
  <si>
    <t>Nombre</t>
  </si>
  <si>
    <t>NIT</t>
  </si>
  <si>
    <t>Nota</t>
  </si>
  <si>
    <t>Valor</t>
  </si>
  <si>
    <t>2026-06-04</t>
  </si>
  <si>
    <t>Insumos</t>
  </si>
  <si>
    <t>Edwin Hernandez</t>
  </si>
  <si>
    <t>proveedor ocasional</t>
  </si>
  <si>
    <t>Pintura pisos pitón</t>
  </si>
  <si>
    <t>Anticipo juan PVC tolu</t>
  </si>
  <si>
    <t>2026-06-06</t>
  </si>
  <si>
    <t>EDILBERTO FLOREZ SOTOM</t>
  </si>
  <si>
    <t>Pago exitoso</t>
  </si>
  <si>
    <t>TRANSFORMAR Cielo rasos e interiores</t>
  </si>
  <si>
    <t>92227092-8</t>
  </si>
  <si>
    <t>Laminas PVC, Angulos, Viguetas, etc.</t>
  </si>
  <si>
    <t>Eligio Julio</t>
  </si>
  <si>
    <t>Elgidio para 20 de los farruko</t>
  </si>
  <si>
    <t>William Bassa</t>
  </si>
  <si>
    <t>Papi pago tolu</t>
  </si>
  <si>
    <t>2026-06-07</t>
  </si>
  <si>
    <t>Transferencia exitosa Nequi 3147286391</t>
  </si>
  <si>
    <t>Pérgola reparación</t>
  </si>
  <si>
    <t>Ayudante pergola</t>
  </si>
  <si>
    <t>Pago hartlsm muro fachada más 20 mil préstamo descontado</t>
  </si>
  <si>
    <t>Pago vigilancia papi tolu</t>
  </si>
  <si>
    <t>2026-06-08</t>
  </si>
  <si>
    <t>BOLIVIA FERRETERIA SAS</t>
  </si>
  <si>
    <t>900742930-3</t>
  </si>
  <si>
    <t>ANGULO HIERRO, VARILLA CONSTRUCCION, ANTICORROSIVO, BROCHA GOYA</t>
  </si>
  <si>
    <t>Paola Andrea Moreno Altamiranda</t>
  </si>
  <si>
    <t>Pago, instalación Aires Hotel Tolu</t>
  </si>
  <si>
    <t>Solangie Gallego Marin</t>
  </si>
  <si>
    <t>Anticipo cielo raso PVC tolu</t>
  </si>
  <si>
    <t>Anticipo piedra piso la piche tolu</t>
  </si>
  <si>
    <t>Pago factura aceros pérgola 2</t>
  </si>
  <si>
    <t>Maria Cuadrado</t>
  </si>
  <si>
    <t>Vivero</t>
  </si>
  <si>
    <t>2026-06-09</t>
  </si>
  <si>
    <t>PAGOS AUTOMATICOS DE COLOMBIA SAS</t>
  </si>
  <si>
    <t>Recarga cuenta pse</t>
  </si>
  <si>
    <t>2026-06-13</t>
  </si>
  <si>
    <t>EDILBERTO OSCAR FLOREZ SOTOMAYOR</t>
  </si>
  <si>
    <t>92227092</t>
  </si>
  <si>
    <t>Material cielo raso tolu</t>
  </si>
  <si>
    <t>Re conexión internet tolu</t>
  </si>
  <si>
    <t>2026-06-16</t>
  </si>
  <si>
    <t>Laminas PVC, angulos, viguetas, omegas, etc</t>
  </si>
  <si>
    <t>Anticipo mano de obra, Cielo, Razo Tolu</t>
  </si>
  <si>
    <t>Material Cielo raso Tolu</t>
  </si>
  <si>
    <t>Servicio Aereo a Territorios Nacionales SATENA</t>
  </si>
  <si>
    <t>Pasaje Mauricio</t>
  </si>
  <si>
    <t>SATENA</t>
  </si>
  <si>
    <t>Pasaje Mauricio (Booking AOCFZZ)</t>
  </si>
  <si>
    <t>8 Perimetral, Tornillos</t>
  </si>
  <si>
    <t>Pago reparación cubierta eligio</t>
  </si>
  <si>
    <t>J&amp;J SAS</t>
  </si>
  <si>
    <t>Pago material cubierta tolu</t>
  </si>
  <si>
    <t>Material muro drywall</t>
  </si>
  <si>
    <t>CASA FERRETERA EL CONSTRUCTOR</t>
  </si>
  <si>
    <t>901945939-4</t>
  </si>
  <si>
    <t>PERFIL CANAL CAL 26</t>
  </si>
  <si>
    <t>Edwart Jaramillo</t>
  </si>
  <si>
    <t>Transferencia a Edwart Jaramillo Nequi</t>
  </si>
  <si>
    <t>Transferencia exitosa</t>
  </si>
  <si>
    <t>2026-06-17</t>
  </si>
  <si>
    <t>moto bomba piscina</t>
  </si>
  <si>
    <t>Mao Nequi</t>
  </si>
  <si>
    <t>71275865</t>
  </si>
  <si>
    <t>Compra camarotes tolu</t>
  </si>
  <si>
    <t>Viaticos y pago personal tolu</t>
  </si>
  <si>
    <t>2026-06-19</t>
  </si>
  <si>
    <t>Transferencia Edwart Jaramillo</t>
  </si>
  <si>
    <t>2026-06-20</t>
  </si>
  <si>
    <t>Anticipo cielo raso</t>
  </si>
  <si>
    <t>Bodega Y Ferreteria J Y J Sas</t>
  </si>
  <si>
    <t>Pago factura cotizacion 398</t>
  </si>
  <si>
    <t>2026-06-22</t>
  </si>
  <si>
    <t>Alejandro pinzon</t>
  </si>
  <si>
    <t>Arriendo mirador 24 tolu Mes junio 2026</t>
  </si>
  <si>
    <t>Tiquete mauricio medellín Tolu Medellín</t>
  </si>
  <si>
    <t>2026-06-23</t>
  </si>
  <si>
    <t>Material cielo tolu</t>
  </si>
  <si>
    <t>FERRETERIA LOS SOCIOS TOLU</t>
  </si>
  <si>
    <t>1102802088-0</t>
  </si>
  <si>
    <t>CANAL B6</t>
  </si>
  <si>
    <t>2026-06-24</t>
  </si>
  <si>
    <t>Bodega Y Ferreteria J Y J SAS</t>
  </si>
  <si>
    <t>Transferencia Bodega Y Ferreteria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</si>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</sst>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_-;\-* #,##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167" fontId="2" fillId="0" borderId="1" xfId="1" applyNumberFormat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11" workbookViewId="0">
      <selection activeCell="A45" sqref="A45:F45"/>
    </sheetView>
  </sheetViews>
  <sheetFormatPr baseColWidth="10" defaultRowHeight="15" x14ac:dyDescent="0.25"/>
  <cols>
    <col min="1" max="1" width="15.875" customWidth="1"/>
    <col min="2" max="2" width="20.875" customWidth="1"/>
    <col min="3" max="3" width="40.875" customWidth="1"/>
    <col min="4" max="4" width="20.875" customWidth="1"/>
    <col min="5" max="5" width="50.875" customWidth="1"/>
    <col min="6" max="6" width="15.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309000</v>
      </c>
    </row>
    <row r="3" spans="1:6" ht="15.75" x14ac:dyDescent="0.25">
      <c r="A3" s="1" t="s">
        <v>6</v>
      </c>
      <c r="B3" s="1" t="s">
        <v>7</v>
      </c>
      <c r="C3" s="1" t="s">
        <v>9</v>
      </c>
      <c r="D3" s="1" t="s">
        <v>9</v>
      </c>
      <c r="E3" s="1" t="s">
        <v>11</v>
      </c>
      <c r="F3" s="1">
        <v>600000</v>
      </c>
    </row>
    <row r="4" spans="1:6" ht="15.75" x14ac:dyDescent="0.25">
      <c r="A4" s="1" t="s">
        <v>12</v>
      </c>
      <c r="B4" s="1" t="s">
        <v>7</v>
      </c>
      <c r="C4" s="1" t="s">
        <v>13</v>
      </c>
      <c r="D4" s="1" t="s">
        <v>9</v>
      </c>
      <c r="E4" s="1" t="s">
        <v>14</v>
      </c>
      <c r="F4" s="1">
        <v>2200000</v>
      </c>
    </row>
    <row r="5" spans="1:6" ht="15.75" x14ac:dyDescent="0.25">
      <c r="A5" s="1" t="s">
        <v>12</v>
      </c>
      <c r="B5" s="1" t="s">
        <v>7</v>
      </c>
      <c r="C5" s="1" t="s">
        <v>15</v>
      </c>
      <c r="D5" s="1" t="s">
        <v>16</v>
      </c>
      <c r="E5" s="1" t="s">
        <v>17</v>
      </c>
      <c r="F5" s="1">
        <v>3118000</v>
      </c>
    </row>
    <row r="6" spans="1:6" ht="15.75" x14ac:dyDescent="0.25">
      <c r="A6" s="1" t="s">
        <v>12</v>
      </c>
      <c r="B6" s="1" t="s">
        <v>7</v>
      </c>
      <c r="C6" s="1" t="s">
        <v>18</v>
      </c>
      <c r="D6" s="1" t="s">
        <v>9</v>
      </c>
      <c r="E6" s="1" t="s">
        <v>19</v>
      </c>
      <c r="F6" s="1">
        <v>20000</v>
      </c>
    </row>
    <row r="7" spans="1:6" ht="15.75" x14ac:dyDescent="0.25">
      <c r="A7" s="1" t="s">
        <v>12</v>
      </c>
      <c r="B7" s="1" t="s">
        <v>7</v>
      </c>
      <c r="C7" s="1" t="s">
        <v>20</v>
      </c>
      <c r="D7" s="1" t="s">
        <v>9</v>
      </c>
      <c r="E7" s="1" t="s">
        <v>21</v>
      </c>
      <c r="F7" s="1">
        <v>70000</v>
      </c>
    </row>
    <row r="8" spans="1:6" ht="15.75" x14ac:dyDescent="0.25">
      <c r="A8" s="1" t="s">
        <v>22</v>
      </c>
      <c r="B8" s="1" t="s">
        <v>7</v>
      </c>
      <c r="C8" s="1" t="s">
        <v>9</v>
      </c>
      <c r="D8" s="1" t="s">
        <v>9</v>
      </c>
      <c r="E8" s="1" t="s">
        <v>23</v>
      </c>
      <c r="F8" s="1">
        <v>124000</v>
      </c>
    </row>
    <row r="9" spans="1:6" ht="15.75" x14ac:dyDescent="0.25">
      <c r="A9" s="1" t="s">
        <v>22</v>
      </c>
      <c r="B9" s="1" t="s">
        <v>7</v>
      </c>
      <c r="C9" s="1" t="s">
        <v>9</v>
      </c>
      <c r="D9" s="1" t="s">
        <v>9</v>
      </c>
      <c r="E9" s="1" t="s">
        <v>24</v>
      </c>
      <c r="F9" s="1">
        <v>250000</v>
      </c>
    </row>
    <row r="10" spans="1:6" ht="15.75" x14ac:dyDescent="0.25">
      <c r="A10" s="1" t="s">
        <v>22</v>
      </c>
      <c r="B10" s="1" t="s">
        <v>7</v>
      </c>
      <c r="C10" s="1" t="s">
        <v>18</v>
      </c>
      <c r="D10" s="1" t="s">
        <v>9</v>
      </c>
      <c r="E10" s="1" t="s">
        <v>25</v>
      </c>
      <c r="F10" s="1">
        <v>50000</v>
      </c>
    </row>
    <row r="11" spans="1:6" ht="15.75" x14ac:dyDescent="0.25">
      <c r="A11" s="1" t="s">
        <v>22</v>
      </c>
      <c r="B11" s="1" t="s">
        <v>7</v>
      </c>
      <c r="C11" s="1" t="s">
        <v>20</v>
      </c>
      <c r="D11" s="1" t="s">
        <v>9</v>
      </c>
      <c r="E11" s="1" t="s">
        <v>26</v>
      </c>
      <c r="F11" s="1">
        <v>30000</v>
      </c>
    </row>
    <row r="12" spans="1:6" ht="15.75" x14ac:dyDescent="0.25">
      <c r="A12" s="1" t="s">
        <v>22</v>
      </c>
      <c r="B12" s="1" t="s">
        <v>7</v>
      </c>
      <c r="C12" s="1" t="s">
        <v>20</v>
      </c>
      <c r="D12" s="1" t="s">
        <v>9</v>
      </c>
      <c r="E12" s="1" t="s">
        <v>27</v>
      </c>
      <c r="F12" s="1">
        <v>200000</v>
      </c>
    </row>
    <row r="13" spans="1:6" ht="15.75" x14ac:dyDescent="0.25">
      <c r="A13" s="1" t="s">
        <v>28</v>
      </c>
      <c r="B13" s="1" t="s">
        <v>7</v>
      </c>
      <c r="C13" s="1" t="s">
        <v>29</v>
      </c>
      <c r="D13" s="1" t="s">
        <v>30</v>
      </c>
      <c r="E13" s="1" t="s">
        <v>31</v>
      </c>
      <c r="F13" s="1">
        <v>405300</v>
      </c>
    </row>
    <row r="14" spans="1:6" ht="15.75" x14ac:dyDescent="0.25">
      <c r="A14" s="1" t="s">
        <v>28</v>
      </c>
      <c r="B14" s="1" t="s">
        <v>7</v>
      </c>
      <c r="C14" s="1" t="s">
        <v>32</v>
      </c>
      <c r="D14" s="1" t="s">
        <v>9</v>
      </c>
      <c r="E14" s="1" t="s">
        <v>33</v>
      </c>
      <c r="F14" s="1">
        <v>510000</v>
      </c>
    </row>
    <row r="15" spans="1:6" ht="15.75" x14ac:dyDescent="0.25">
      <c r="A15" s="1" t="s">
        <v>28</v>
      </c>
      <c r="B15" s="1" t="s">
        <v>7</v>
      </c>
      <c r="C15" s="1" t="s">
        <v>34</v>
      </c>
      <c r="D15" s="1" t="s">
        <v>9</v>
      </c>
      <c r="E15" s="1" t="s">
        <v>35</v>
      </c>
      <c r="F15" s="1">
        <v>500000</v>
      </c>
    </row>
    <row r="16" spans="1:6" ht="15.75" x14ac:dyDescent="0.25">
      <c r="A16" s="1" t="s">
        <v>28</v>
      </c>
      <c r="B16" s="1" t="s">
        <v>7</v>
      </c>
      <c r="C16" s="1" t="s">
        <v>9</v>
      </c>
      <c r="D16" s="1" t="s">
        <v>9</v>
      </c>
      <c r="E16" s="1" t="s">
        <v>36</v>
      </c>
      <c r="F16" s="1">
        <v>200000</v>
      </c>
    </row>
    <row r="17" spans="1:6" ht="15.75" x14ac:dyDescent="0.25">
      <c r="A17" s="1" t="s">
        <v>28</v>
      </c>
      <c r="B17" s="1" t="s">
        <v>7</v>
      </c>
      <c r="C17" s="1" t="s">
        <v>9</v>
      </c>
      <c r="D17" s="1" t="s">
        <v>9</v>
      </c>
      <c r="E17" s="1" t="s">
        <v>37</v>
      </c>
      <c r="F17" s="1">
        <v>427800</v>
      </c>
    </row>
    <row r="18" spans="1:6" ht="15.75" x14ac:dyDescent="0.25">
      <c r="A18" s="1" t="s">
        <v>28</v>
      </c>
      <c r="B18" s="1" t="s">
        <v>7</v>
      </c>
      <c r="C18" s="1" t="s">
        <v>38</v>
      </c>
      <c r="D18" s="1" t="s">
        <v>9</v>
      </c>
      <c r="E18" s="1" t="s">
        <v>39</v>
      </c>
      <c r="F18" s="1">
        <v>70000</v>
      </c>
    </row>
    <row r="19" spans="1:6" ht="15.75" x14ac:dyDescent="0.25">
      <c r="A19" s="1" t="s">
        <v>40</v>
      </c>
      <c r="B19" s="1" t="s">
        <v>7</v>
      </c>
      <c r="C19" s="1" t="s">
        <v>41</v>
      </c>
      <c r="D19" s="1" t="s">
        <v>9</v>
      </c>
      <c r="E19" s="1" t="s">
        <v>42</v>
      </c>
      <c r="F19" s="1">
        <v>51500</v>
      </c>
    </row>
    <row r="20" spans="1:6" ht="15.75" x14ac:dyDescent="0.25">
      <c r="A20" s="1" t="s">
        <v>43</v>
      </c>
      <c r="B20" s="1" t="s">
        <v>7</v>
      </c>
      <c r="C20" s="1" t="s">
        <v>44</v>
      </c>
      <c r="D20" s="1" t="s">
        <v>45</v>
      </c>
      <c r="E20" s="1" t="s">
        <v>46</v>
      </c>
      <c r="F20" s="1">
        <v>567000</v>
      </c>
    </row>
    <row r="21" spans="1:6" ht="15.75" x14ac:dyDescent="0.25">
      <c r="A21" s="1" t="s">
        <v>43</v>
      </c>
      <c r="B21" s="1" t="s">
        <v>7</v>
      </c>
      <c r="C21" s="1" t="s">
        <v>9</v>
      </c>
      <c r="D21" s="1" t="s">
        <v>9</v>
      </c>
      <c r="E21" s="1" t="s">
        <v>47</v>
      </c>
      <c r="F21" s="1">
        <v>150000</v>
      </c>
    </row>
    <row r="22" spans="1:6" ht="15.75" x14ac:dyDescent="0.25">
      <c r="A22" s="1" t="s">
        <v>48</v>
      </c>
      <c r="B22" s="1" t="s">
        <v>7</v>
      </c>
      <c r="C22" s="1" t="s">
        <v>15</v>
      </c>
      <c r="D22" s="1" t="s">
        <v>16</v>
      </c>
      <c r="E22" s="1" t="s">
        <v>49</v>
      </c>
      <c r="F22" s="1">
        <v>569000</v>
      </c>
    </row>
    <row r="23" spans="1:6" ht="15.75" x14ac:dyDescent="0.25">
      <c r="A23" s="1" t="s">
        <v>43</v>
      </c>
      <c r="B23" s="1" t="s">
        <v>7</v>
      </c>
      <c r="C23" s="1" t="s">
        <v>34</v>
      </c>
      <c r="D23" s="1" t="s">
        <v>9</v>
      </c>
      <c r="E23" s="1" t="s">
        <v>50</v>
      </c>
      <c r="F23" s="1">
        <v>300000</v>
      </c>
    </row>
    <row r="24" spans="1:6" ht="15.75" x14ac:dyDescent="0.25">
      <c r="A24" s="1" t="s">
        <v>43</v>
      </c>
      <c r="B24" s="1" t="s">
        <v>7</v>
      </c>
      <c r="C24" s="1" t="s">
        <v>44</v>
      </c>
      <c r="D24" s="1" t="s">
        <v>45</v>
      </c>
      <c r="E24" s="1" t="s">
        <v>51</v>
      </c>
      <c r="F24" s="1">
        <v>108000</v>
      </c>
    </row>
    <row r="25" spans="1:6" ht="15.75" x14ac:dyDescent="0.25">
      <c r="A25" s="1" t="s">
        <v>43</v>
      </c>
      <c r="B25" s="1" t="s">
        <v>7</v>
      </c>
      <c r="C25" s="1" t="s">
        <v>52</v>
      </c>
      <c r="D25" s="1" t="s">
        <v>9</v>
      </c>
      <c r="E25" s="1" t="s">
        <v>53</v>
      </c>
      <c r="F25" s="1">
        <v>689400</v>
      </c>
    </row>
    <row r="26" spans="1:6" ht="15.75" x14ac:dyDescent="0.25">
      <c r="A26" s="1" t="s">
        <v>43</v>
      </c>
      <c r="B26" s="1" t="s">
        <v>7</v>
      </c>
      <c r="C26" s="1" t="s">
        <v>54</v>
      </c>
      <c r="D26" s="1" t="s">
        <v>9</v>
      </c>
      <c r="E26" s="1" t="s">
        <v>55</v>
      </c>
      <c r="F26" s="1">
        <v>689400</v>
      </c>
    </row>
    <row r="27" spans="1:6" ht="15.75" x14ac:dyDescent="0.25">
      <c r="A27" s="1" t="s">
        <v>43</v>
      </c>
      <c r="B27" s="1" t="s">
        <v>7</v>
      </c>
      <c r="C27" s="1" t="s">
        <v>15</v>
      </c>
      <c r="D27" s="1" t="s">
        <v>16</v>
      </c>
      <c r="E27" s="1" t="s">
        <v>56</v>
      </c>
      <c r="F27" s="1">
        <v>108000</v>
      </c>
    </row>
    <row r="28" spans="1:6" ht="15.75" x14ac:dyDescent="0.25">
      <c r="A28" s="1" t="s">
        <v>48</v>
      </c>
      <c r="B28" s="1" t="s">
        <v>7</v>
      </c>
      <c r="C28" s="1" t="s">
        <v>9</v>
      </c>
      <c r="D28" s="1" t="s">
        <v>9</v>
      </c>
      <c r="E28" s="1" t="s">
        <v>57</v>
      </c>
      <c r="F28" s="1">
        <v>350000</v>
      </c>
    </row>
    <row r="29" spans="1:6" ht="15.75" x14ac:dyDescent="0.25">
      <c r="A29" s="1" t="s">
        <v>48</v>
      </c>
      <c r="B29" s="1" t="s">
        <v>7</v>
      </c>
      <c r="C29" s="1" t="s">
        <v>58</v>
      </c>
      <c r="D29" s="1" t="s">
        <v>30</v>
      </c>
      <c r="E29" s="1" t="s">
        <v>59</v>
      </c>
      <c r="F29" s="1">
        <v>355657</v>
      </c>
    </row>
    <row r="30" spans="1:6" ht="15.75" x14ac:dyDescent="0.25">
      <c r="A30" s="1" t="s">
        <v>48</v>
      </c>
      <c r="B30" s="1" t="s">
        <v>7</v>
      </c>
      <c r="C30" s="1" t="s">
        <v>9</v>
      </c>
      <c r="D30" s="1" t="s">
        <v>9</v>
      </c>
      <c r="E30" s="1" t="s">
        <v>60</v>
      </c>
      <c r="F30" s="1">
        <v>1232000</v>
      </c>
    </row>
    <row r="31" spans="1:6" ht="15.75" x14ac:dyDescent="0.25">
      <c r="A31" s="1" t="s">
        <v>48</v>
      </c>
      <c r="B31" s="1" t="s">
        <v>7</v>
      </c>
      <c r="C31" s="1" t="s">
        <v>61</v>
      </c>
      <c r="D31" s="1" t="s">
        <v>62</v>
      </c>
      <c r="E31" s="1" t="s">
        <v>63</v>
      </c>
      <c r="F31" s="1">
        <v>150000</v>
      </c>
    </row>
    <row r="32" spans="1:6" ht="15.75" x14ac:dyDescent="0.25">
      <c r="A32" s="1" t="s">
        <v>48</v>
      </c>
      <c r="B32" s="1" t="s">
        <v>7</v>
      </c>
      <c r="C32" s="1" t="s">
        <v>64</v>
      </c>
      <c r="D32" s="1" t="s">
        <v>9</v>
      </c>
      <c r="E32" s="1" t="s">
        <v>65</v>
      </c>
      <c r="F32" s="1">
        <v>200000</v>
      </c>
    </row>
    <row r="33" spans="1:6" ht="15.75" x14ac:dyDescent="0.25">
      <c r="A33" s="1" t="s">
        <v>48</v>
      </c>
      <c r="B33" s="1" t="s">
        <v>7</v>
      </c>
      <c r="C33" s="1" t="s">
        <v>9</v>
      </c>
      <c r="D33" s="1" t="s">
        <v>9</v>
      </c>
      <c r="E33" s="1" t="s">
        <v>66</v>
      </c>
      <c r="F33" s="1">
        <v>50000</v>
      </c>
    </row>
    <row r="34" spans="1:6" ht="15.75" x14ac:dyDescent="0.25">
      <c r="A34" s="1" t="s">
        <v>67</v>
      </c>
      <c r="B34" s="1" t="s">
        <v>7</v>
      </c>
      <c r="C34" s="1" t="s">
        <v>64</v>
      </c>
      <c r="D34" s="1" t="s">
        <v>9</v>
      </c>
      <c r="E34" s="1" t="s">
        <v>68</v>
      </c>
      <c r="F34" s="1">
        <v>50000</v>
      </c>
    </row>
    <row r="35" spans="1:6" ht="15.75" x14ac:dyDescent="0.25">
      <c r="A35" s="1" t="s">
        <v>67</v>
      </c>
      <c r="B35" s="1" t="s">
        <v>7</v>
      </c>
      <c r="C35" s="1" t="s">
        <v>69</v>
      </c>
      <c r="D35" s="1" t="s">
        <v>70</v>
      </c>
      <c r="E35" s="1" t="s">
        <v>71</v>
      </c>
      <c r="F35" s="1">
        <v>1000000</v>
      </c>
    </row>
    <row r="36" spans="1:6" ht="15.75" x14ac:dyDescent="0.25">
      <c r="A36" s="1" t="s">
        <v>67</v>
      </c>
      <c r="B36" s="1" t="s">
        <v>7</v>
      </c>
      <c r="C36" s="1" t="s">
        <v>64</v>
      </c>
      <c r="D36" s="1" t="s">
        <v>9</v>
      </c>
      <c r="E36" s="1" t="s">
        <v>72</v>
      </c>
      <c r="F36" s="1">
        <v>500000</v>
      </c>
    </row>
    <row r="37" spans="1:6" ht="15.75" x14ac:dyDescent="0.25">
      <c r="A37" s="1" t="s">
        <v>73</v>
      </c>
      <c r="B37" s="1" t="s">
        <v>7</v>
      </c>
      <c r="C37" s="1" t="s">
        <v>64</v>
      </c>
      <c r="D37" s="1" t="s">
        <v>9</v>
      </c>
      <c r="E37" s="1" t="s">
        <v>74</v>
      </c>
      <c r="F37" s="1">
        <v>250000</v>
      </c>
    </row>
    <row r="38" spans="1:6" ht="15.75" x14ac:dyDescent="0.25">
      <c r="A38" s="1" t="s">
        <v>75</v>
      </c>
      <c r="B38" s="1" t="s">
        <v>7</v>
      </c>
      <c r="C38" s="1" t="s">
        <v>34</v>
      </c>
      <c r="D38" s="1" t="s">
        <v>9</v>
      </c>
      <c r="E38" s="1" t="s">
        <v>76</v>
      </c>
      <c r="F38" s="1">
        <v>500000</v>
      </c>
    </row>
    <row r="39" spans="1:6" ht="15.75" x14ac:dyDescent="0.25">
      <c r="A39" s="1" t="s">
        <v>75</v>
      </c>
      <c r="B39" s="1" t="s">
        <v>7</v>
      </c>
      <c r="C39" s="1" t="s">
        <v>77</v>
      </c>
      <c r="D39" s="1" t="s">
        <v>9</v>
      </c>
      <c r="E39" s="1" t="s">
        <v>78</v>
      </c>
      <c r="F39" s="1">
        <v>262600</v>
      </c>
    </row>
    <row r="40" spans="1:6" ht="15.75" x14ac:dyDescent="0.25">
      <c r="A40" s="1" t="s">
        <v>79</v>
      </c>
      <c r="B40" s="1" t="s">
        <v>7</v>
      </c>
      <c r="C40" s="1" t="s">
        <v>80</v>
      </c>
      <c r="D40" s="1" t="s">
        <v>9</v>
      </c>
      <c r="E40" s="1" t="s">
        <v>81</v>
      </c>
      <c r="F40" s="1">
        <v>1200000</v>
      </c>
    </row>
    <row r="41" spans="1:6" ht="15.75" x14ac:dyDescent="0.25">
      <c r="A41" s="1" t="s">
        <v>79</v>
      </c>
      <c r="B41" s="1" t="s">
        <v>7</v>
      </c>
      <c r="C41" s="1" t="s">
        <v>54</v>
      </c>
      <c r="D41" s="1" t="s">
        <v>9</v>
      </c>
      <c r="E41" s="1" t="s">
        <v>82</v>
      </c>
      <c r="F41" s="1">
        <v>935000</v>
      </c>
    </row>
    <row r="42" spans="1:6" ht="15.75" x14ac:dyDescent="0.25">
      <c r="A42" s="1" t="s">
        <v>83</v>
      </c>
      <c r="B42" s="1" t="s">
        <v>7</v>
      </c>
      <c r="C42" s="1" t="s">
        <v>77</v>
      </c>
      <c r="D42" s="1" t="s">
        <v>9</v>
      </c>
      <c r="E42" s="1" t="s">
        <v>84</v>
      </c>
      <c r="F42" s="1">
        <v>117000</v>
      </c>
    </row>
    <row r="43" spans="1:6" ht="15.75" x14ac:dyDescent="0.25">
      <c r="A43" s="1" t="s">
        <v>83</v>
      </c>
      <c r="B43" s="1" t="s">
        <v>7</v>
      </c>
      <c r="C43" s="1" t="s">
        <v>85</v>
      </c>
      <c r="D43" s="1" t="s">
        <v>86</v>
      </c>
      <c r="E43" s="1" t="s">
        <v>87</v>
      </c>
      <c r="F43" s="1">
        <v>32000</v>
      </c>
    </row>
    <row r="44" spans="1:6" ht="15.75" x14ac:dyDescent="0.25">
      <c r="A44" s="1" t="s">
        <v>88</v>
      </c>
      <c r="B44" s="1" t="s">
        <v>7</v>
      </c>
      <c r="C44" s="1" t="s">
        <v>89</v>
      </c>
      <c r="D44" s="1" t="s">
        <v>9</v>
      </c>
      <c r="E44" s="1" t="s">
        <v>90</v>
      </c>
      <c r="F44" s="1">
        <v>298820</v>
      </c>
    </row>
    <row r="45" spans="1:6" ht="15" customHeight="1" x14ac:dyDescent="0.25">
      <c r="A45" s="2" t="s">
        <v>91</v>
      </c>
      <c r="B45" s="2"/>
      <c r="C45" s="2"/>
      <c r="D45" s="2"/>
      <c r="E45" s="2"/>
      <c r="F45" s="3">
        <f>SUM(F2:F44)</f>
        <v>19799477</v>
      </c>
    </row>
    <row r="46" spans="1:6" ht="15.75" x14ac:dyDescent="0.25"/>
  </sheetData>
  <mergeCells count="1">
    <mergeCell ref="A45:E45"/>
  </mergeCells>
  <pageMargins left="0.7" right="0.7" top="0.75" bottom="0.75" header="0.3" footer="0.3"/>
  <ignoredErrors>
    <ignoredError sqref="A1:F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Vasquez</cp:lastModifiedBy>
  <dcterms:modified xsi:type="dcterms:W3CDTF">2026-06-24T17:20:45Z</dcterms:modified>
</cp:coreProperties>
</file>